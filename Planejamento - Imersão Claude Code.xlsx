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<sst xmlns="http://schemas.openxmlformats.org/spreadsheetml/2006/main" count="24" uniqueCount="23">
  <si>
    <t>lotes</t>
  </si>
  <si>
    <t>preço</t>
  </si>
  <si>
    <t>quant</t>
  </si>
  <si>
    <t>fat</t>
  </si>
  <si>
    <t>Vendas Orderbump</t>
  </si>
  <si>
    <t>Vendas Ingressos</t>
  </si>
  <si>
    <t>Upsell - Mesa de Comando</t>
  </si>
  <si>
    <t>Investimento</t>
  </si>
  <si>
    <t>Faturamento</t>
  </si>
  <si>
    <t>CPA</t>
  </si>
  <si>
    <t>Lucro</t>
  </si>
  <si>
    <t>%</t>
  </si>
  <si>
    <t>Total</t>
  </si>
  <si>
    <t>Ticket</t>
  </si>
  <si>
    <t>presença</t>
  </si>
  <si>
    <t>Perda até o Pitch</t>
  </si>
  <si>
    <t>Conversão no Pitch</t>
  </si>
  <si>
    <t>Compras Mentoria</t>
  </si>
  <si>
    <t>Compras Upsell</t>
  </si>
  <si>
    <t>Investimento Total</t>
  </si>
  <si>
    <t>Faturamento total</t>
  </si>
  <si>
    <t>Lucro Total</t>
  </si>
  <si>
    <t>ROAS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</si>
</sst>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1" numFmtId="0" xfId="0" applyFont="1"/>
    <xf borderId="0" fillId="0" fontId="1" numFmtId="0" xfId="0" applyFont="1"/>
    <xf borderId="0" fillId="0" fontId="1" numFmtId="164" xfId="0" applyFont="1" applyNumberFormat="1"/>
    <xf borderId="0" fillId="0" fontId="2" numFmtId="9" xfId="0" applyAlignment="1" applyFont="1" applyNumberFormat="1">
      <alignment readingOrder="0"/>
    </xf>
    <xf borderId="0" fillId="0" fontId="2" numFmtId="0" xfId="0" applyFon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>
        <v>9.0</v>
      </c>
      <c r="C2" s="2">
        <v>100.0</v>
      </c>
      <c r="D2" s="4">
        <f t="shared" ref="D2:D6" si="1">B2*C2</f>
        <v>900</v>
      </c>
    </row>
    <row r="3">
      <c r="A3" s="2">
        <v>2.0</v>
      </c>
      <c r="B3" s="3">
        <v>15.0</v>
      </c>
      <c r="C3" s="2">
        <v>75.0</v>
      </c>
      <c r="D3" s="4">
        <f t="shared" si="1"/>
        <v>1125</v>
      </c>
    </row>
    <row r="4">
      <c r="A4" s="2">
        <v>3.0</v>
      </c>
      <c r="B4" s="3">
        <v>19.0</v>
      </c>
      <c r="C4" s="2">
        <v>60.0</v>
      </c>
      <c r="D4" s="4">
        <f t="shared" si="1"/>
        <v>1140</v>
      </c>
    </row>
    <row r="5">
      <c r="A5" s="2">
        <v>4.0</v>
      </c>
      <c r="B5" s="3">
        <v>27.0</v>
      </c>
      <c r="C5" s="2">
        <v>50.0</v>
      </c>
      <c r="D5" s="4">
        <f t="shared" si="1"/>
        <v>1350</v>
      </c>
    </row>
    <row r="6">
      <c r="A6" s="2">
        <v>5.0</v>
      </c>
      <c r="B6" s="3">
        <v>47.0</v>
      </c>
      <c r="C6" s="2">
        <v>50.0</v>
      </c>
      <c r="D6" s="4">
        <f t="shared" si="1"/>
        <v>2350</v>
      </c>
    </row>
    <row r="7">
      <c r="A7" s="1" t="s">
        <v>4</v>
      </c>
      <c r="B7" s="3">
        <v>47.0</v>
      </c>
      <c r="C7" s="5">
        <f>(C8*30%)</f>
        <v>100.5</v>
      </c>
      <c r="D7" s="4">
        <f>C7*B7</f>
        <v>4723.5</v>
      </c>
    </row>
    <row r="8">
      <c r="A8" s="1" t="s">
        <v>5</v>
      </c>
      <c r="C8" s="6">
        <f t="shared" ref="C8:D8" si="2">SUM(C2:C6)</f>
        <v>335</v>
      </c>
      <c r="D8" s="4">
        <f t="shared" si="2"/>
        <v>6865</v>
      </c>
    </row>
    <row r="9">
      <c r="A9" s="1" t="s">
        <v>6</v>
      </c>
      <c r="B9" s="3">
        <v>397.0</v>
      </c>
      <c r="C9" s="1">
        <v>15.0</v>
      </c>
      <c r="D9" s="3">
        <f>B9*C9</f>
        <v>5955</v>
      </c>
      <c r="F9" s="2"/>
    </row>
    <row r="10">
      <c r="C10" s="1" t="s">
        <v>7</v>
      </c>
      <c r="D10" s="3">
        <v>17000.0</v>
      </c>
    </row>
    <row r="11">
      <c r="C11" s="1" t="s">
        <v>8</v>
      </c>
      <c r="D11" s="3">
        <f>D8+D7+D9</f>
        <v>17543.5</v>
      </c>
    </row>
    <row r="12">
      <c r="C12" s="1" t="s">
        <v>9</v>
      </c>
      <c r="D12" s="7">
        <f>D10/C8</f>
        <v>50.74626866</v>
      </c>
    </row>
    <row r="13">
      <c r="C13" s="1" t="s">
        <v>10</v>
      </c>
      <c r="D13" s="7">
        <f>D11-D10</f>
        <v>543.5</v>
      </c>
    </row>
    <row r="15">
      <c r="B15" s="1" t="s">
        <v>11</v>
      </c>
      <c r="C15" s="1" t="s">
        <v>12</v>
      </c>
      <c r="D15" s="1" t="s">
        <v>13</v>
      </c>
      <c r="E15" s="1" t="s">
        <v>8</v>
      </c>
    </row>
    <row r="16">
      <c r="A16" s="6" t="s">
        <v>14</v>
      </c>
      <c r="B16" s="8">
        <v>0.65</v>
      </c>
      <c r="C16" s="9">
        <f>C8*B16</f>
        <v>217.75</v>
      </c>
    </row>
    <row r="17">
      <c r="A17" s="1" t="s">
        <v>15</v>
      </c>
      <c r="B17" s="8">
        <v>0.2</v>
      </c>
      <c r="C17" s="9">
        <f>C16-(C16*B17)</f>
        <v>174.2</v>
      </c>
    </row>
    <row r="18">
      <c r="A18" s="1" t="s">
        <v>16</v>
      </c>
      <c r="B18" s="8">
        <v>0.15</v>
      </c>
      <c r="C18" s="9">
        <f>(C17*B18)</f>
        <v>26.13</v>
      </c>
    </row>
    <row r="19">
      <c r="A19" s="1" t="s">
        <v>17</v>
      </c>
      <c r="B19" s="8">
        <v>1.0</v>
      </c>
      <c r="C19" s="9">
        <f t="shared" ref="C19:C20" si="3">C18*B19</f>
        <v>26.13</v>
      </c>
      <c r="D19" s="3">
        <v>1600.0</v>
      </c>
      <c r="E19" s="4">
        <f t="shared" ref="E19:E20" si="4">D19*C19</f>
        <v>41808</v>
      </c>
    </row>
    <row r="20">
      <c r="A20" s="1" t="s">
        <v>18</v>
      </c>
      <c r="B20" s="8">
        <v>0.1</v>
      </c>
      <c r="C20" s="9">
        <f t="shared" si="3"/>
        <v>2.613</v>
      </c>
      <c r="D20" s="3">
        <v>997.0</v>
      </c>
      <c r="E20" s="4">
        <f t="shared" si="4"/>
        <v>2605.161</v>
      </c>
    </row>
    <row r="21">
      <c r="A21" s="1" t="s">
        <v>19</v>
      </c>
      <c r="E21" s="7">
        <f>D10</f>
        <v>17000</v>
      </c>
    </row>
    <row r="22">
      <c r="A22" s="1" t="s">
        <v>20</v>
      </c>
      <c r="E22" s="7">
        <f>SUM(E19:E20)</f>
        <v>44413.161</v>
      </c>
    </row>
    <row r="23">
      <c r="A23" s="1" t="s">
        <v>21</v>
      </c>
      <c r="E23" s="7">
        <f>E22+D13</f>
        <v>44956.661</v>
      </c>
    </row>
    <row r="24">
      <c r="A24" s="1" t="s">
        <v>22</v>
      </c>
      <c r="E24" s="10">
        <f>E22/E21</f>
        <v>2.612538882</v>
      </c>
    </row>
  </sheetData>
  <mergeCells count="4">
    <mergeCell ref="A21:D21"/>
    <mergeCell ref="A22:D22"/>
    <mergeCell ref="A23:D23"/>
    <mergeCell ref="A24:D24"/>
  </mergeCells>
  <drawing r:id="rId1"/>
</worksheet>
</file>